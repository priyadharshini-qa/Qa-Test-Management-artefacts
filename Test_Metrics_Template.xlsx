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shboard" sheetId="1" r:id="rId4"/>
    <sheet state="visible" name="Test Execution" sheetId="2" r:id="rId5"/>
    <sheet state="visible" name="Defect Tracker" sheetId="3" r:id="rId6"/>
    <sheet state="visible" name="Defect Trend" sheetId="4" r:id="rId7"/>
    <sheet state="visible" name="Test Coverage" sheetId="5" r:id="rId8"/>
    <sheet state="visible" name="KPI Reference" sheetId="6" r:id="rId9"/>
  </sheets>
  <definedNames/>
  <calcPr/>
  <extLst>
    <ext uri="GoogleSheetsCustomDataVersion2">
      <go:sheetsCustomData xmlns:go="http://customooxmlschemas.google.com/" r:id="rId10" roundtripDataChecksum="6kLt0cDmNRsv1xLnqTeGqgPE+yipFdF3I/pDEVv7SYA="/>
    </ext>
  </extLst>
</workbook>
</file>

<file path=xl/sharedStrings.xml><?xml version="1.0" encoding="utf-8"?>
<sst xmlns="http://schemas.openxmlformats.org/spreadsheetml/2006/main" count="122" uniqueCount="113">
  <si>
    <t>TEST METRICS – SUMMARY DASHBOARD</t>
  </si>
  <si>
    <t xml:space="preserve">  KEY METRICS</t>
  </si>
  <si>
    <t>Metric</t>
  </si>
  <si>
    <t>Target</t>
  </si>
  <si>
    <t>Actual</t>
  </si>
  <si>
    <t>Variance</t>
  </si>
  <si>
    <t>Status</t>
  </si>
  <si>
    <t>Total Test Cases</t>
  </si>
  <si>
    <t>—</t>
  </si>
  <si>
    <t>Pass Rate (%)</t>
  </si>
  <si>
    <t>≥ 95%</t>
  </si>
  <si>
    <t>Fail Rate (%)</t>
  </si>
  <si>
    <t>≤ 5%</t>
  </si>
  <si>
    <t>Blocked / Skipped</t>
  </si>
  <si>
    <t>Defects Found</t>
  </si>
  <si>
    <t>Critical Defects Open</t>
  </si>
  <si>
    <t>0</t>
  </si>
  <si>
    <t xml:space="preserve">  NOTES / RISK FLAGS</t>
  </si>
  <si>
    <t>Blockers</t>
  </si>
  <si>
    <t>Environment Issues</t>
  </si>
  <si>
    <t>Scope Changes</t>
  </si>
  <si>
    <t>Carry-over Items</t>
  </si>
  <si>
    <t>TEST EXECUTION PROGRESS</t>
  </si>
  <si>
    <t xml:space="preserve">  EXECUTION BY PHASE</t>
  </si>
  <si>
    <t>Phase</t>
  </si>
  <si>
    <t>Planned</t>
  </si>
  <si>
    <t>Executed</t>
  </si>
  <si>
    <t>Passed</t>
  </si>
  <si>
    <t>Failed</t>
  </si>
  <si>
    <t>Blocked</t>
  </si>
  <si>
    <t>% Complete</t>
  </si>
  <si>
    <t>Unit Testing</t>
  </si>
  <si>
    <t>Integration Testing</t>
  </si>
  <si>
    <t>System Testing</t>
  </si>
  <si>
    <t>Regression Testing</t>
  </si>
  <si>
    <t>Automation Testing</t>
  </si>
  <si>
    <t>UAT</t>
  </si>
  <si>
    <t>TOTAL</t>
  </si>
  <si>
    <t>DEFECT SUMMARY &amp; TRACKER</t>
  </si>
  <si>
    <t xml:space="preserve">  DEFECT SUMMARY BY SEVERITY</t>
  </si>
  <si>
    <t>Severity</t>
  </si>
  <si>
    <t>Open</t>
  </si>
  <si>
    <t>Closed</t>
  </si>
  <si>
    <t>Total</t>
  </si>
  <si>
    <t>% Closed</t>
  </si>
  <si>
    <t>Critical (P1)</t>
  </si>
  <si>
    <t>High (P2)</t>
  </si>
  <si>
    <t>&lt; 5%</t>
  </si>
  <si>
    <t>Medium (P3)</t>
  </si>
  <si>
    <t>&lt; 20%</t>
  </si>
  <si>
    <t>Low (P4)</t>
  </si>
  <si>
    <t xml:space="preserve">  DEFECT LOG</t>
  </si>
  <si>
    <t>Defect ID</t>
  </si>
  <si>
    <t>Description</t>
  </si>
  <si>
    <t>Found Date</t>
  </si>
  <si>
    <t>Resolved Date</t>
  </si>
  <si>
    <t>Owner</t>
  </si>
  <si>
    <t>Notes</t>
  </si>
  <si>
    <t>DEFECT TREND BY PERIOD</t>
  </si>
  <si>
    <t xml:space="preserve">  WEEKLY / SPRINT TREND</t>
  </si>
  <si>
    <t>Period</t>
  </si>
  <si>
    <t>New Defects</t>
  </si>
  <si>
    <t>Resolved</t>
  </si>
  <si>
    <t>Net Open</t>
  </si>
  <si>
    <t>Cumulative Open</t>
  </si>
  <si>
    <t>Week 1 / Sprint 1/Release1</t>
  </si>
  <si>
    <t>Week 2 / Sprint 2</t>
  </si>
  <si>
    <t>Week 3 / Sprint 3</t>
  </si>
  <si>
    <t>Week 4 / Sprint 4</t>
  </si>
  <si>
    <t>Week 5 / Sprint 5</t>
  </si>
  <si>
    <t>Week 6 / Sprint 6</t>
  </si>
  <si>
    <t>Week 7 / Sprint 7</t>
  </si>
  <si>
    <t>Week 8 / Sprint 8</t>
  </si>
  <si>
    <t>TEST COVERAGE</t>
  </si>
  <si>
    <t xml:space="preserve">  COVERAGE BY MODULE</t>
  </si>
  <si>
    <t>Area / Module</t>
  </si>
  <si>
    <t>Test Cases Written</t>
  </si>
  <si>
    <t>Cases Covered</t>
  </si>
  <si>
    <t>% Coverage</t>
  </si>
  <si>
    <t>Module A</t>
  </si>
  <si>
    <t>Module B</t>
  </si>
  <si>
    <t>Module C</t>
  </si>
  <si>
    <t>Module D</t>
  </si>
  <si>
    <t>Module E</t>
  </si>
  <si>
    <t>Module F</t>
  </si>
  <si>
    <t>Module G</t>
  </si>
  <si>
    <t>Module H</t>
  </si>
  <si>
    <t>KEY QUALITY INDICATORS – REFERENCE</t>
  </si>
  <si>
    <t xml:space="preserve">  KPI DEFINITIONS</t>
  </si>
  <si>
    <t>KPI</t>
  </si>
  <si>
    <t>Formula</t>
  </si>
  <si>
    <t>Value / Notes</t>
  </si>
  <si>
    <t>Pass Rate</t>
  </si>
  <si>
    <t>Passed /Executed × 100</t>
  </si>
  <si>
    <t>Target ≥ 95%</t>
  </si>
  <si>
    <t>Defect Density</t>
  </si>
  <si>
    <t>Total Defects / Total Test Cases</t>
  </si>
  <si>
    <t>Lower is better</t>
  </si>
  <si>
    <t>Defect Removal Efficiency</t>
  </si>
  <si>
    <t>Closed Defects / Total Defects × 100</t>
  </si>
  <si>
    <t>Target ≥ 90%</t>
  </si>
  <si>
    <t>Test Execution Rate</t>
  </si>
  <si>
    <t>Executed / Planned × 100</t>
  </si>
  <si>
    <t>Target = 100%</t>
  </si>
  <si>
    <t>Blocked Rate</t>
  </si>
  <si>
    <t>Blocked / Total Planned × 100</t>
  </si>
  <si>
    <t>Target ≤ 5%</t>
  </si>
  <si>
    <t>Critical Defect Rate</t>
  </si>
  <si>
    <t>Critical Open / Total Defects × 100</t>
  </si>
  <si>
    <t>Target = 0%</t>
  </si>
  <si>
    <t>Mean Time to Resolve (MTTR)</t>
  </si>
  <si>
    <t>Sum of Resolution Times / Resolved Count</t>
  </si>
  <si>
    <t>Days; lower is better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</si>
</sst>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2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shrinkToFit="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5" fillId="4" fontId="5" numFmtId="0" xfId="0" applyAlignment="1" applyBorder="1" applyFont="1">
      <alignment shrinkToFit="0" vertical="bottom" wrapText="0"/>
    </xf>
    <xf borderId="6" fillId="0" fontId="2" numFmtId="0" xfId="0" applyBorder="1" applyFont="1"/>
    <xf borderId="7" fillId="0" fontId="2" numFmtId="0" xfId="0" applyBorder="1" applyFont="1"/>
    <xf borderId="4" fillId="5" fontId="6" numFmtId="0" xfId="0" applyAlignment="1" applyBorder="1" applyFont="1">
      <alignment horizontal="left" shrinkToFit="0" vertical="center" wrapText="0"/>
    </xf>
    <xf borderId="5" fillId="5" fontId="5" numFmtId="0" xfId="0" applyAlignment="1" applyBorder="1" applyFont="1">
      <alignment shrinkToFit="0" vertical="bottom" wrapText="0"/>
    </xf>
    <xf borderId="4" fillId="4" fontId="5" numFmtId="164" xfId="0" applyAlignment="1" applyBorder="1" applyFont="1" applyNumberForma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4" fontId="5" numFmtId="0" xfId="0" applyAlignment="1" applyBorder="1" applyFont="1">
      <alignment horizontal="left" readingOrder="0" shrinkToFit="0" vertical="center" wrapText="0"/>
    </xf>
    <xf borderId="4" fillId="6" fontId="6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6" fontId="6" numFmtId="164" xfId="0" applyAlignment="1" applyBorder="1" applyFont="1" applyNumberFormat="1">
      <alignment horizontal="center" shrinkToFit="0" vertical="center" wrapText="0"/>
    </xf>
    <xf borderId="4" fillId="5" fontId="5" numFmtId="0" xfId="0" applyAlignment="1" applyBorder="1" applyFont="1">
      <alignment shrinkToFit="0" vertical="bottom" wrapText="0"/>
    </xf>
    <xf borderId="4" fillId="4" fontId="5" numFmtId="0" xfId="0" applyAlignment="1" applyBorder="1" applyFont="1">
      <alignment shrinkToFit="0" vertical="bottom" wrapText="0"/>
    </xf>
    <xf borderId="4" fillId="5" fontId="5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4" width="16.0"/>
    <col customWidth="1" min="5" max="5" width="14.0"/>
    <col customWidth="1" min="6" max="26" width="8.71"/>
  </cols>
  <sheetData>
    <row r="1" ht="39.75" customHeight="1">
      <c r="A1" s="1" t="s">
        <v>0</v>
      </c>
      <c r="B1" s="2"/>
      <c r="C1" s="2"/>
      <c r="D1" s="2"/>
      <c r="E1" s="3"/>
    </row>
    <row r="3" ht="21.75" customHeight="1">
      <c r="A3" s="4" t="s">
        <v>1</v>
      </c>
      <c r="B3" s="2"/>
      <c r="C3" s="2"/>
      <c r="D3" s="2"/>
      <c r="E3" s="3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 t="s">
        <v>7</v>
      </c>
      <c r="B5" s="7" t="s">
        <v>8</v>
      </c>
      <c r="C5" s="7"/>
      <c r="D5" s="7"/>
      <c r="E5" s="7"/>
    </row>
    <row r="6">
      <c r="A6" s="8" t="s">
        <v>9</v>
      </c>
      <c r="B6" s="9" t="s">
        <v>10</v>
      </c>
      <c r="C6" s="9"/>
      <c r="D6" s="9"/>
      <c r="E6" s="9"/>
    </row>
    <row r="7">
      <c r="A7" s="6" t="s">
        <v>11</v>
      </c>
      <c r="B7" s="7" t="s">
        <v>12</v>
      </c>
      <c r="C7" s="7"/>
      <c r="D7" s="7"/>
      <c r="E7" s="7"/>
    </row>
    <row r="8">
      <c r="A8" s="8" t="s">
        <v>13</v>
      </c>
      <c r="B8" s="9" t="s">
        <v>8</v>
      </c>
      <c r="C8" s="9"/>
      <c r="D8" s="9"/>
      <c r="E8" s="9"/>
    </row>
    <row r="9">
      <c r="A9" s="6" t="s">
        <v>14</v>
      </c>
      <c r="B9" s="7" t="s">
        <v>8</v>
      </c>
      <c r="C9" s="7"/>
      <c r="D9" s="7"/>
      <c r="E9" s="7"/>
    </row>
    <row r="10">
      <c r="A10" s="8" t="s">
        <v>15</v>
      </c>
      <c r="B10" s="9" t="s">
        <v>16</v>
      </c>
      <c r="C10" s="9"/>
      <c r="D10" s="9"/>
      <c r="E10" s="9"/>
    </row>
    <row r="12">
      <c r="A12" s="4" t="s">
        <v>17</v>
      </c>
      <c r="B12" s="2"/>
      <c r="C12" s="2"/>
      <c r="D12" s="2"/>
      <c r="E12" s="3"/>
    </row>
    <row r="13">
      <c r="A13" s="10" t="s">
        <v>18</v>
      </c>
      <c r="B13" s="11"/>
      <c r="C13" s="12"/>
      <c r="D13" s="12"/>
      <c r="E13" s="13"/>
    </row>
    <row r="14">
      <c r="A14" s="14" t="s">
        <v>19</v>
      </c>
      <c r="B14" s="15"/>
      <c r="C14" s="12"/>
      <c r="D14" s="12"/>
      <c r="E14" s="13"/>
    </row>
    <row r="15">
      <c r="A15" s="10" t="s">
        <v>20</v>
      </c>
      <c r="B15" s="11"/>
      <c r="C15" s="12"/>
      <c r="D15" s="12"/>
      <c r="E15" s="13"/>
    </row>
    <row r="16">
      <c r="A16" s="14" t="s">
        <v>21</v>
      </c>
      <c r="B16" s="15"/>
      <c r="C16" s="12"/>
      <c r="D16" s="12"/>
      <c r="E16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:E3"/>
    <mergeCell ref="A12:E12"/>
    <mergeCell ref="B13:E13"/>
    <mergeCell ref="B14:E14"/>
    <mergeCell ref="B15:E15"/>
    <mergeCell ref="B16:E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6" width="13.0"/>
    <col customWidth="1" min="7" max="7" width="14.0"/>
    <col customWidth="1" min="8" max="26" width="8.71"/>
  </cols>
  <sheetData>
    <row r="1" ht="39.75" customHeight="1">
      <c r="A1" s="1" t="s">
        <v>22</v>
      </c>
      <c r="B1" s="2"/>
      <c r="C1" s="2"/>
      <c r="D1" s="2"/>
      <c r="E1" s="2"/>
      <c r="F1" s="2"/>
      <c r="G1" s="3"/>
    </row>
    <row r="3">
      <c r="A3" s="4" t="s">
        <v>23</v>
      </c>
      <c r="B3" s="2"/>
      <c r="C3" s="2"/>
      <c r="D3" s="2"/>
      <c r="E3" s="2"/>
      <c r="F3" s="2"/>
      <c r="G3" s="3"/>
    </row>
    <row r="4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</row>
    <row r="5">
      <c r="A5" s="6" t="s">
        <v>31</v>
      </c>
      <c r="B5" s="7"/>
      <c r="C5" s="7"/>
      <c r="D5" s="7"/>
      <c r="E5" s="7"/>
      <c r="F5" s="7"/>
      <c r="G5" s="16" t="str">
        <f t="shared" ref="G5:G8" si="1">IF(B5=0,"",C5/B5)</f>
        <v/>
      </c>
    </row>
    <row r="6">
      <c r="A6" s="8" t="s">
        <v>32</v>
      </c>
      <c r="B6" s="9"/>
      <c r="C6" s="9"/>
      <c r="D6" s="9"/>
      <c r="E6" s="9"/>
      <c r="F6" s="9"/>
      <c r="G6" s="17" t="str">
        <f t="shared" si="1"/>
        <v/>
      </c>
    </row>
    <row r="7">
      <c r="A7" s="6" t="s">
        <v>33</v>
      </c>
      <c r="B7" s="7"/>
      <c r="C7" s="7"/>
      <c r="D7" s="7"/>
      <c r="E7" s="7"/>
      <c r="F7" s="7"/>
      <c r="G7" s="16" t="str">
        <f t="shared" si="1"/>
        <v/>
      </c>
    </row>
    <row r="8">
      <c r="A8" s="8" t="s">
        <v>34</v>
      </c>
      <c r="B8" s="9"/>
      <c r="C8" s="9"/>
      <c r="D8" s="9"/>
      <c r="E8" s="9"/>
      <c r="F8" s="9"/>
      <c r="G8" s="17" t="str">
        <f t="shared" si="1"/>
        <v/>
      </c>
    </row>
    <row r="9">
      <c r="A9" s="18" t="s">
        <v>35</v>
      </c>
      <c r="B9" s="7"/>
      <c r="C9" s="7"/>
      <c r="D9" s="7"/>
      <c r="E9" s="7"/>
      <c r="F9" s="7"/>
      <c r="G9" s="16"/>
    </row>
    <row r="10">
      <c r="A10" s="6" t="s">
        <v>36</v>
      </c>
      <c r="B10" s="7"/>
      <c r="C10" s="7"/>
      <c r="D10" s="7"/>
      <c r="E10" s="7"/>
      <c r="F10" s="7"/>
      <c r="G10" s="16" t="str">
        <f t="shared" ref="G10:G11" si="3">IF(B10=0,"",C10/B10)</f>
        <v/>
      </c>
    </row>
    <row r="11">
      <c r="A11" s="19" t="s">
        <v>37</v>
      </c>
      <c r="B11" s="20">
        <f t="shared" ref="B11:F11" si="2">SUM(B5:B10)</f>
        <v>0</v>
      </c>
      <c r="C11" s="20">
        <f t="shared" si="2"/>
        <v>0</v>
      </c>
      <c r="D11" s="20">
        <f t="shared" si="2"/>
        <v>0</v>
      </c>
      <c r="E11" s="20">
        <f t="shared" si="2"/>
        <v>0</v>
      </c>
      <c r="F11" s="20">
        <f t="shared" si="2"/>
        <v>0</v>
      </c>
      <c r="G11" s="21" t="str">
        <f t="shared" si="3"/>
        <v/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G1"/>
    <mergeCell ref="A3:G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30.0"/>
    <col customWidth="1" min="3" max="7" width="14.0"/>
    <col customWidth="1" min="8" max="8" width="22.0"/>
    <col customWidth="1" min="9" max="26" width="8.71"/>
  </cols>
  <sheetData>
    <row r="1" ht="39.75" customHeight="1">
      <c r="A1" s="1" t="s">
        <v>38</v>
      </c>
      <c r="B1" s="2"/>
      <c r="C1" s="2"/>
      <c r="D1" s="2"/>
      <c r="E1" s="2"/>
      <c r="F1" s="2"/>
      <c r="G1" s="2"/>
      <c r="H1" s="3"/>
    </row>
    <row r="3">
      <c r="A3" s="4" t="s">
        <v>39</v>
      </c>
      <c r="B3" s="2"/>
      <c r="C3" s="2"/>
      <c r="D3" s="2"/>
      <c r="E3" s="2"/>
      <c r="F3" s="3"/>
    </row>
    <row r="4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3</v>
      </c>
    </row>
    <row r="5">
      <c r="A5" s="6" t="s">
        <v>45</v>
      </c>
      <c r="B5" s="7"/>
      <c r="C5" s="7"/>
      <c r="D5" s="7">
        <f t="shared" ref="D5:D8" si="1">B5+C5</f>
        <v>0</v>
      </c>
      <c r="E5" s="16" t="str">
        <f t="shared" ref="E5:E9" si="2">IF(D5=0,"",C5/D5)</f>
        <v/>
      </c>
      <c r="F5" s="7" t="s">
        <v>16</v>
      </c>
    </row>
    <row r="6">
      <c r="A6" s="8" t="s">
        <v>46</v>
      </c>
      <c r="B6" s="9"/>
      <c r="C6" s="9"/>
      <c r="D6" s="9">
        <f t="shared" si="1"/>
        <v>0</v>
      </c>
      <c r="E6" s="17" t="str">
        <f t="shared" si="2"/>
        <v/>
      </c>
      <c r="F6" s="9" t="s">
        <v>47</v>
      </c>
    </row>
    <row r="7">
      <c r="A7" s="6" t="s">
        <v>48</v>
      </c>
      <c r="B7" s="7"/>
      <c r="C7" s="7"/>
      <c r="D7" s="7">
        <f t="shared" si="1"/>
        <v>0</v>
      </c>
      <c r="E7" s="16" t="str">
        <f t="shared" si="2"/>
        <v/>
      </c>
      <c r="F7" s="7" t="s">
        <v>49</v>
      </c>
    </row>
    <row r="8">
      <c r="A8" s="8" t="s">
        <v>50</v>
      </c>
      <c r="B8" s="9"/>
      <c r="C8" s="9"/>
      <c r="D8" s="9">
        <f t="shared" si="1"/>
        <v>0</v>
      </c>
      <c r="E8" s="17" t="str">
        <f t="shared" si="2"/>
        <v/>
      </c>
      <c r="F8" s="9" t="s">
        <v>8</v>
      </c>
    </row>
    <row r="9">
      <c r="A9" s="19" t="s">
        <v>37</v>
      </c>
      <c r="B9" s="20">
        <f t="shared" ref="B9:D9" si="3">SUM(B5:B8)</f>
        <v>0</v>
      </c>
      <c r="C9" s="20">
        <f t="shared" si="3"/>
        <v>0</v>
      </c>
      <c r="D9" s="20">
        <f t="shared" si="3"/>
        <v>0</v>
      </c>
      <c r="E9" s="21" t="str">
        <f t="shared" si="2"/>
        <v/>
      </c>
      <c r="F9" s="20"/>
    </row>
    <row r="11">
      <c r="A11" s="4" t="s">
        <v>51</v>
      </c>
      <c r="B11" s="2"/>
      <c r="C11" s="2"/>
      <c r="D11" s="2"/>
      <c r="E11" s="2"/>
      <c r="F11" s="2"/>
      <c r="G11" s="2"/>
      <c r="H11" s="3"/>
    </row>
    <row r="12">
      <c r="A12" s="5" t="s">
        <v>52</v>
      </c>
      <c r="B12" s="5" t="s">
        <v>53</v>
      </c>
      <c r="C12" s="5" t="s">
        <v>40</v>
      </c>
      <c r="D12" s="5" t="s">
        <v>6</v>
      </c>
      <c r="E12" s="5" t="s">
        <v>54</v>
      </c>
      <c r="F12" s="5" t="s">
        <v>55</v>
      </c>
      <c r="G12" s="5" t="s">
        <v>56</v>
      </c>
      <c r="H12" s="5" t="s">
        <v>57</v>
      </c>
    </row>
    <row r="13">
      <c r="A13" s="9"/>
      <c r="B13" s="22"/>
      <c r="C13" s="22"/>
      <c r="D13" s="22"/>
      <c r="E13" s="22"/>
      <c r="F13" s="22"/>
      <c r="G13" s="22"/>
      <c r="H13" s="22"/>
    </row>
    <row r="14">
      <c r="A14" s="7"/>
      <c r="B14" s="23"/>
      <c r="C14" s="23"/>
      <c r="D14" s="23"/>
      <c r="E14" s="23"/>
      <c r="F14" s="23"/>
      <c r="G14" s="23"/>
      <c r="H14" s="23"/>
    </row>
    <row r="15">
      <c r="A15" s="9"/>
      <c r="B15" s="22"/>
      <c r="C15" s="22"/>
      <c r="D15" s="22"/>
      <c r="E15" s="22"/>
      <c r="F15" s="22"/>
      <c r="G15" s="22"/>
      <c r="H15" s="22"/>
    </row>
    <row r="16">
      <c r="A16" s="7"/>
      <c r="B16" s="23"/>
      <c r="C16" s="23"/>
      <c r="D16" s="23"/>
      <c r="E16" s="23"/>
      <c r="F16" s="23"/>
      <c r="G16" s="23"/>
      <c r="H16" s="23"/>
    </row>
    <row r="17">
      <c r="A17" s="9"/>
      <c r="B17" s="22"/>
      <c r="C17" s="22"/>
      <c r="D17" s="22"/>
      <c r="E17" s="22"/>
      <c r="F17" s="22"/>
      <c r="G17" s="22"/>
      <c r="H17" s="22"/>
    </row>
    <row r="18">
      <c r="A18" s="7"/>
      <c r="B18" s="23"/>
      <c r="C18" s="23"/>
      <c r="D18" s="23"/>
      <c r="E18" s="23"/>
      <c r="F18" s="23"/>
      <c r="G18" s="23"/>
      <c r="H18" s="23"/>
    </row>
    <row r="19">
      <c r="A19" s="9"/>
      <c r="B19" s="22"/>
      <c r="C19" s="22"/>
      <c r="D19" s="22"/>
      <c r="E19" s="22"/>
      <c r="F19" s="22"/>
      <c r="G19" s="22"/>
      <c r="H19" s="22"/>
    </row>
    <row r="20">
      <c r="A20" s="7"/>
      <c r="B20" s="23"/>
      <c r="C20" s="23"/>
      <c r="D20" s="23"/>
      <c r="E20" s="23"/>
      <c r="F20" s="23"/>
      <c r="G20" s="23"/>
      <c r="H20" s="23"/>
    </row>
    <row r="21" ht="15.75" customHeight="1">
      <c r="A21" s="9"/>
      <c r="B21" s="22"/>
      <c r="C21" s="22"/>
      <c r="D21" s="22"/>
      <c r="E21" s="22"/>
      <c r="F21" s="22"/>
      <c r="G21" s="22"/>
      <c r="H21" s="22"/>
    </row>
    <row r="22" ht="15.75" customHeight="1">
      <c r="A22" s="7"/>
      <c r="B22" s="23"/>
      <c r="C22" s="23"/>
      <c r="D22" s="23"/>
      <c r="E22" s="23"/>
      <c r="F22" s="23"/>
      <c r="G22" s="23"/>
      <c r="H22" s="2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3:F3"/>
    <mergeCell ref="A11:H1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57"/>
    <col customWidth="1" min="2" max="5" width="14.0"/>
    <col customWidth="1" min="6" max="26" width="8.71"/>
  </cols>
  <sheetData>
    <row r="1" ht="39.75" customHeight="1">
      <c r="A1" s="1" t="s">
        <v>58</v>
      </c>
      <c r="B1" s="2"/>
      <c r="C1" s="2"/>
      <c r="D1" s="2"/>
      <c r="E1" s="3"/>
    </row>
    <row r="3">
      <c r="A3" s="4" t="s">
        <v>59</v>
      </c>
      <c r="B3" s="2"/>
      <c r="C3" s="2"/>
      <c r="D3" s="2"/>
      <c r="E3" s="3"/>
    </row>
    <row r="4">
      <c r="A4" s="5" t="s">
        <v>60</v>
      </c>
      <c r="B4" s="5" t="s">
        <v>61</v>
      </c>
      <c r="C4" s="5" t="s">
        <v>62</v>
      </c>
      <c r="D4" s="5" t="s">
        <v>63</v>
      </c>
      <c r="E4" s="5" t="s">
        <v>64</v>
      </c>
    </row>
    <row r="5">
      <c r="A5" s="18" t="s">
        <v>65</v>
      </c>
      <c r="B5" s="7"/>
      <c r="C5" s="7"/>
      <c r="D5" s="7">
        <f t="shared" ref="D5:D12" si="1">B5-C5</f>
        <v>0</v>
      </c>
      <c r="E5" s="7">
        <f>D5</f>
        <v>0</v>
      </c>
    </row>
    <row r="6">
      <c r="A6" s="8" t="s">
        <v>66</v>
      </c>
      <c r="B6" s="9"/>
      <c r="C6" s="9"/>
      <c r="D6" s="9">
        <f t="shared" si="1"/>
        <v>0</v>
      </c>
      <c r="E6" s="9">
        <f t="shared" ref="E6:E12" si="2">E5+D6</f>
        <v>0</v>
      </c>
    </row>
    <row r="7">
      <c r="A7" s="6" t="s">
        <v>67</v>
      </c>
      <c r="B7" s="7"/>
      <c r="C7" s="7"/>
      <c r="D7" s="7">
        <f t="shared" si="1"/>
        <v>0</v>
      </c>
      <c r="E7" s="7">
        <f t="shared" si="2"/>
        <v>0</v>
      </c>
    </row>
    <row r="8">
      <c r="A8" s="8" t="s">
        <v>68</v>
      </c>
      <c r="B8" s="9"/>
      <c r="C8" s="9"/>
      <c r="D8" s="9">
        <f t="shared" si="1"/>
        <v>0</v>
      </c>
      <c r="E8" s="9">
        <f t="shared" si="2"/>
        <v>0</v>
      </c>
    </row>
    <row r="9">
      <c r="A9" s="6" t="s">
        <v>69</v>
      </c>
      <c r="B9" s="7"/>
      <c r="C9" s="7"/>
      <c r="D9" s="7">
        <f t="shared" si="1"/>
        <v>0</v>
      </c>
      <c r="E9" s="7">
        <f t="shared" si="2"/>
        <v>0</v>
      </c>
    </row>
    <row r="10">
      <c r="A10" s="8" t="s">
        <v>70</v>
      </c>
      <c r="B10" s="9"/>
      <c r="C10" s="9"/>
      <c r="D10" s="9">
        <f t="shared" si="1"/>
        <v>0</v>
      </c>
      <c r="E10" s="9">
        <f t="shared" si="2"/>
        <v>0</v>
      </c>
    </row>
    <row r="11">
      <c r="A11" s="6" t="s">
        <v>71</v>
      </c>
      <c r="B11" s="7"/>
      <c r="C11" s="7"/>
      <c r="D11" s="7">
        <f t="shared" si="1"/>
        <v>0</v>
      </c>
      <c r="E11" s="7">
        <f t="shared" si="2"/>
        <v>0</v>
      </c>
    </row>
    <row r="12">
      <c r="A12" s="8" t="s">
        <v>72</v>
      </c>
      <c r="B12" s="9"/>
      <c r="C12" s="9"/>
      <c r="D12" s="9">
        <f t="shared" si="1"/>
        <v>0</v>
      </c>
      <c r="E12" s="9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3:E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18.0"/>
    <col customWidth="1" min="4" max="4" width="16.0"/>
    <col customWidth="1" min="5" max="26" width="8.71"/>
  </cols>
  <sheetData>
    <row r="1" ht="39.75" customHeight="1">
      <c r="A1" s="1" t="s">
        <v>73</v>
      </c>
      <c r="B1" s="2"/>
      <c r="C1" s="2"/>
      <c r="D1" s="3"/>
    </row>
    <row r="3">
      <c r="A3" s="4" t="s">
        <v>74</v>
      </c>
      <c r="B3" s="2"/>
      <c r="C3" s="2"/>
      <c r="D3" s="3"/>
    </row>
    <row r="4">
      <c r="A4" s="5" t="s">
        <v>75</v>
      </c>
      <c r="B4" s="5" t="s">
        <v>76</v>
      </c>
      <c r="C4" s="5" t="s">
        <v>77</v>
      </c>
      <c r="D4" s="5" t="s">
        <v>78</v>
      </c>
    </row>
    <row r="5">
      <c r="A5" s="6" t="s">
        <v>79</v>
      </c>
      <c r="B5" s="7"/>
      <c r="C5" s="7"/>
      <c r="D5" s="16" t="str">
        <f t="shared" ref="D5:D13" si="1">IF(B5=0,"",C5/B5)</f>
        <v/>
      </c>
    </row>
    <row r="6">
      <c r="A6" s="8" t="s">
        <v>80</v>
      </c>
      <c r="B6" s="9"/>
      <c r="C6" s="9"/>
      <c r="D6" s="17" t="str">
        <f t="shared" si="1"/>
        <v/>
      </c>
    </row>
    <row r="7">
      <c r="A7" s="6" t="s">
        <v>81</v>
      </c>
      <c r="B7" s="7"/>
      <c r="C7" s="7"/>
      <c r="D7" s="16" t="str">
        <f t="shared" si="1"/>
        <v/>
      </c>
    </row>
    <row r="8">
      <c r="A8" s="8" t="s">
        <v>82</v>
      </c>
      <c r="B8" s="9"/>
      <c r="C8" s="9"/>
      <c r="D8" s="17" t="str">
        <f t="shared" si="1"/>
        <v/>
      </c>
    </row>
    <row r="9">
      <c r="A9" s="6" t="s">
        <v>83</v>
      </c>
      <c r="B9" s="7"/>
      <c r="C9" s="7"/>
      <c r="D9" s="16" t="str">
        <f t="shared" si="1"/>
        <v/>
      </c>
    </row>
    <row r="10">
      <c r="A10" s="8" t="s">
        <v>84</v>
      </c>
      <c r="B10" s="9"/>
      <c r="C10" s="9"/>
      <c r="D10" s="17" t="str">
        <f t="shared" si="1"/>
        <v/>
      </c>
    </row>
    <row r="11">
      <c r="A11" s="6" t="s">
        <v>85</v>
      </c>
      <c r="B11" s="7"/>
      <c r="C11" s="7"/>
      <c r="D11" s="16" t="str">
        <f t="shared" si="1"/>
        <v/>
      </c>
    </row>
    <row r="12">
      <c r="A12" s="8" t="s">
        <v>86</v>
      </c>
      <c r="B12" s="9"/>
      <c r="C12" s="9"/>
      <c r="D12" s="17" t="str">
        <f t="shared" si="1"/>
        <v/>
      </c>
    </row>
    <row r="13">
      <c r="A13" s="19" t="s">
        <v>37</v>
      </c>
      <c r="B13" s="20">
        <f t="shared" ref="B13:C13" si="2">SUM(B5:B12)</f>
        <v>0</v>
      </c>
      <c r="C13" s="20">
        <f t="shared" si="2"/>
        <v>0</v>
      </c>
      <c r="D13" s="21" t="str">
        <f t="shared" si="1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3" width="20.0"/>
    <col customWidth="1" min="4" max="26" width="8.71"/>
  </cols>
  <sheetData>
    <row r="1" ht="39.75" customHeight="1">
      <c r="A1" s="1" t="s">
        <v>87</v>
      </c>
      <c r="B1" s="2"/>
      <c r="C1" s="3"/>
    </row>
    <row r="3">
      <c r="A3" s="4" t="s">
        <v>88</v>
      </c>
      <c r="B3" s="2"/>
      <c r="C3" s="3"/>
    </row>
    <row r="4">
      <c r="A4" s="5" t="s">
        <v>89</v>
      </c>
      <c r="B4" s="5" t="s">
        <v>90</v>
      </c>
      <c r="C4" s="5" t="s">
        <v>91</v>
      </c>
    </row>
    <row r="5">
      <c r="A5" s="10" t="s">
        <v>92</v>
      </c>
      <c r="B5" s="18" t="s">
        <v>93</v>
      </c>
      <c r="C5" s="6" t="s">
        <v>94</v>
      </c>
    </row>
    <row r="6">
      <c r="A6" s="14" t="s">
        <v>95</v>
      </c>
      <c r="B6" s="24" t="s">
        <v>96</v>
      </c>
      <c r="C6" s="8" t="s">
        <v>97</v>
      </c>
    </row>
    <row r="7">
      <c r="A7" s="10" t="s">
        <v>98</v>
      </c>
      <c r="B7" s="18" t="s">
        <v>99</v>
      </c>
      <c r="C7" s="6" t="s">
        <v>100</v>
      </c>
    </row>
    <row r="8">
      <c r="A8" s="14" t="s">
        <v>101</v>
      </c>
      <c r="B8" s="24" t="s">
        <v>102</v>
      </c>
      <c r="C8" s="8" t="s">
        <v>103</v>
      </c>
    </row>
    <row r="9">
      <c r="A9" s="10" t="s">
        <v>104</v>
      </c>
      <c r="B9" s="18" t="s">
        <v>105</v>
      </c>
      <c r="C9" s="6" t="s">
        <v>106</v>
      </c>
    </row>
    <row r="10">
      <c r="A10" s="14" t="s">
        <v>107</v>
      </c>
      <c r="B10" s="24" t="s">
        <v>108</v>
      </c>
      <c r="C10" s="8" t="s">
        <v>109</v>
      </c>
    </row>
    <row r="11">
      <c r="A11" s="10" t="s">
        <v>110</v>
      </c>
      <c r="B11" s="18" t="s">
        <v>111</v>
      </c>
      <c r="C11" s="6" t="s">
        <v>112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3:C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2026-05-29T15:58:07Z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